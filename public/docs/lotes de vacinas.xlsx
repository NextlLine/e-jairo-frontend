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737287\Desktop\"/>
    </mc:Choice>
  </mc:AlternateContent>
  <workbookProtection workbookAlgorithmName="SHA-512" workbookHashValue="qHbt+qqL5DH1ln2fz6u9+DJgYh0uxh2hMAzzZIU1IWuxfGYKEkbW/GvsOCagb0L125/PCMsMgZg4EIQA6GKQkw==" workbookSaltValue="10xMLIOZga9WuT9hUPWDZA==" workbookSpinCount="100000" lockStructure="1"/>
  <bookViews>
    <workbookView xWindow="0" yWindow="0" windowWidth="21570" windowHeight="8160"/>
  </bookViews>
  <sheets>
    <sheet name="Lotes" sheetId="2" r:id="rId1"/>
    <sheet name="Calendário 2023" sheetId="1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3" i="1" l="1"/>
</calcChain>
</file>

<file path=xl/sharedStrings.xml><?xml version="1.0" encoding="utf-8"?>
<sst xmlns="http://schemas.openxmlformats.org/spreadsheetml/2006/main" count="115" uniqueCount="99">
  <si>
    <r>
      <rPr>
        <b/>
        <sz val="16"/>
        <rFont val="Calibri"/>
        <family val="2"/>
      </rPr>
      <t>CALENDÁRIO DE VACINAÇÃO – DISTRITO FEDERAL 2023</t>
    </r>
  </si>
  <si>
    <r>
      <rPr>
        <b/>
        <sz val="12"/>
        <color rgb="FFFFFFFF"/>
        <rFont val="Calibri"/>
        <family val="2"/>
      </rPr>
      <t>IDADE</t>
    </r>
  </si>
  <si>
    <r>
      <rPr>
        <b/>
        <sz val="12"/>
        <rFont val="Calibri"/>
        <family val="2"/>
      </rPr>
      <t>Ao nascer</t>
    </r>
  </si>
  <si>
    <r>
      <rPr>
        <b/>
        <sz val="12"/>
        <rFont val="Calibri"/>
        <family val="2"/>
      </rPr>
      <t>2 meses</t>
    </r>
  </si>
  <si>
    <r>
      <rPr>
        <b/>
        <sz val="12"/>
        <rFont val="Calibri"/>
        <family val="2"/>
      </rPr>
      <t>Penta (DTP/Hib/Hepatite B)</t>
    </r>
    <r>
      <rPr>
        <b/>
        <vertAlign val="superscript"/>
        <sz val="12"/>
        <rFont val="Calibri"/>
        <family val="2"/>
      </rPr>
      <t>3</t>
    </r>
  </si>
  <si>
    <r>
      <rPr>
        <b/>
        <sz val="12"/>
        <rFont val="Calibri"/>
        <family val="2"/>
      </rPr>
      <t>Vacina Inativada Poliomielite (VIP)</t>
    </r>
    <r>
      <rPr>
        <b/>
        <vertAlign val="superscript"/>
        <sz val="12"/>
        <rFont val="Calibri"/>
        <family val="2"/>
      </rPr>
      <t>4</t>
    </r>
  </si>
  <si>
    <r>
      <rPr>
        <b/>
        <sz val="12"/>
        <rFont val="Calibri"/>
        <family val="2"/>
      </rPr>
      <t>Vacina Oral Rotavírus Humano (VORH)</t>
    </r>
    <r>
      <rPr>
        <b/>
        <vertAlign val="superscript"/>
        <sz val="12"/>
        <rFont val="Calibri"/>
        <family val="2"/>
      </rPr>
      <t>5</t>
    </r>
  </si>
  <si>
    <r>
      <rPr>
        <b/>
        <sz val="12"/>
        <rFont val="Calibri"/>
        <family val="2"/>
      </rPr>
      <t>Pneumocócica 10 valente</t>
    </r>
    <r>
      <rPr>
        <b/>
        <vertAlign val="superscript"/>
        <sz val="12"/>
        <rFont val="Calibri"/>
        <family val="2"/>
      </rPr>
      <t>6</t>
    </r>
  </si>
  <si>
    <r>
      <rPr>
        <b/>
        <sz val="12"/>
        <rFont val="Calibri"/>
        <family val="2"/>
      </rPr>
      <t>3 meses</t>
    </r>
  </si>
  <si>
    <r>
      <rPr>
        <b/>
        <sz val="12"/>
        <rFont val="Calibri"/>
        <family val="2"/>
      </rPr>
      <t>Meningocócica C</t>
    </r>
    <r>
      <rPr>
        <b/>
        <vertAlign val="superscript"/>
        <sz val="12"/>
        <rFont val="Calibri"/>
        <family val="2"/>
      </rPr>
      <t>7</t>
    </r>
  </si>
  <si>
    <r>
      <rPr>
        <b/>
        <sz val="12"/>
        <rFont val="Calibri"/>
        <family val="2"/>
      </rPr>
      <t>4 meses</t>
    </r>
  </si>
  <si>
    <r>
      <rPr>
        <b/>
        <sz val="12"/>
        <rFont val="Calibri"/>
        <family val="2"/>
      </rPr>
      <t>Penta (DTP/Hib/Hepatite B)</t>
    </r>
  </si>
  <si>
    <r>
      <rPr>
        <b/>
        <sz val="12"/>
        <rFont val="Calibri"/>
        <family val="2"/>
      </rPr>
      <t>Vacina Inativada Poliomielite (VIP)</t>
    </r>
  </si>
  <si>
    <r>
      <rPr>
        <b/>
        <sz val="12"/>
        <rFont val="Calibri"/>
        <family val="2"/>
      </rPr>
      <t>Vacina Oral Rotavírus Humano (VORH)</t>
    </r>
  </si>
  <si>
    <r>
      <rPr>
        <b/>
        <sz val="12"/>
        <rFont val="Calibri"/>
        <family val="2"/>
      </rPr>
      <t>Pneumocócica 10 valente</t>
    </r>
  </si>
  <si>
    <r>
      <rPr>
        <b/>
        <sz val="12"/>
        <rFont val="Calibri"/>
        <family val="2"/>
      </rPr>
      <t>5 meses</t>
    </r>
  </si>
  <si>
    <r>
      <rPr>
        <b/>
        <sz val="12"/>
        <rFont val="Calibri"/>
        <family val="2"/>
      </rPr>
      <t>Meningocócica C</t>
    </r>
  </si>
  <si>
    <r>
      <rPr>
        <b/>
        <sz val="12"/>
        <rFont val="Calibri"/>
        <family val="2"/>
      </rPr>
      <t>6 meses</t>
    </r>
  </si>
  <si>
    <r>
      <rPr>
        <b/>
        <sz val="12"/>
        <rFont val="Calibri"/>
        <family val="2"/>
      </rPr>
      <t>9 meses</t>
    </r>
  </si>
  <si>
    <r>
      <rPr>
        <b/>
        <sz val="12"/>
        <rFont val="Calibri"/>
        <family val="2"/>
      </rPr>
      <t>Febre amarela</t>
    </r>
    <r>
      <rPr>
        <b/>
        <vertAlign val="superscript"/>
        <sz val="12"/>
        <rFont val="Calibri"/>
        <family val="2"/>
      </rPr>
      <t>8</t>
    </r>
  </si>
  <si>
    <r>
      <rPr>
        <b/>
        <sz val="12"/>
        <rFont val="Calibri"/>
        <family val="2"/>
      </rPr>
      <t>12 meses</t>
    </r>
  </si>
  <si>
    <r>
      <rPr>
        <b/>
        <sz val="12"/>
        <rFont val="Calibri"/>
        <family val="2"/>
      </rPr>
      <t>Tríplice Viral (SCR)</t>
    </r>
    <r>
      <rPr>
        <b/>
        <vertAlign val="superscript"/>
        <sz val="12"/>
        <rFont val="Calibri"/>
        <family val="2"/>
      </rPr>
      <t>9</t>
    </r>
  </si>
  <si>
    <r>
      <rPr>
        <b/>
        <sz val="12"/>
        <rFont val="Calibri"/>
        <family val="2"/>
      </rPr>
      <t>Pneumocócica 10 valente (REFORÇO)</t>
    </r>
  </si>
  <si>
    <r>
      <rPr>
        <b/>
        <sz val="12"/>
        <rFont val="Calibri"/>
        <family val="2"/>
      </rPr>
      <t>Meningocócica C (REFORÇO)</t>
    </r>
  </si>
  <si>
    <r>
      <rPr>
        <b/>
        <sz val="12"/>
        <rFont val="Calibri"/>
        <family val="2"/>
      </rPr>
      <t>15 meses</t>
    </r>
  </si>
  <si>
    <r>
      <rPr>
        <b/>
        <sz val="12"/>
        <rFont val="Calibri"/>
        <family val="2"/>
      </rPr>
      <t>Tríplice bacteriana (DTP - 1º REFORÇO)</t>
    </r>
    <r>
      <rPr>
        <b/>
        <vertAlign val="superscript"/>
        <sz val="12"/>
        <rFont val="Calibri"/>
        <family val="2"/>
      </rPr>
      <t>3</t>
    </r>
  </si>
  <si>
    <r>
      <rPr>
        <b/>
        <sz val="12"/>
        <rFont val="Calibri"/>
        <family val="2"/>
      </rPr>
      <t>Vacina Oral Poliomielite (VOPb - 1º REFORÇO)</t>
    </r>
    <r>
      <rPr>
        <b/>
        <vertAlign val="superscript"/>
        <sz val="12"/>
        <rFont val="Calibri"/>
        <family val="2"/>
      </rPr>
      <t>9</t>
    </r>
  </si>
  <si>
    <r>
      <rPr>
        <b/>
        <sz val="12"/>
        <rFont val="Calibri"/>
        <family val="2"/>
      </rPr>
      <t>Tríplice Viral</t>
    </r>
    <r>
      <rPr>
        <b/>
        <vertAlign val="superscript"/>
        <sz val="12"/>
        <rFont val="Calibri"/>
        <family val="2"/>
      </rPr>
      <t>10</t>
    </r>
  </si>
  <si>
    <r>
      <rPr>
        <b/>
        <sz val="12"/>
        <rFont val="Calibri"/>
        <family val="2"/>
      </rPr>
      <t>Varicela</t>
    </r>
    <r>
      <rPr>
        <sz val="12"/>
        <rFont val="Calibri"/>
        <family val="2"/>
      </rPr>
      <t>¹¹</t>
    </r>
  </si>
  <si>
    <r>
      <rPr>
        <b/>
        <sz val="12"/>
        <rFont val="Calibri"/>
        <family val="2"/>
      </rPr>
      <t>Hepatite A</t>
    </r>
    <r>
      <rPr>
        <b/>
        <vertAlign val="superscript"/>
        <sz val="12"/>
        <rFont val="Calibri"/>
        <family val="2"/>
      </rPr>
      <t>12</t>
    </r>
  </si>
  <si>
    <r>
      <rPr>
        <b/>
        <sz val="12"/>
        <rFont val="Calibri"/>
        <family val="2"/>
      </rPr>
      <t>4 anos</t>
    </r>
  </si>
  <si>
    <r>
      <rPr>
        <b/>
        <sz val="12"/>
        <rFont val="Calibri"/>
        <family val="2"/>
      </rPr>
      <t>Tríplice bacteriana (DTP - 2º REFORÇO)</t>
    </r>
  </si>
  <si>
    <r>
      <rPr>
        <b/>
        <sz val="12"/>
        <rFont val="Calibri"/>
        <family val="2"/>
      </rPr>
      <t>Vacina Oral Poliomielite (VOPb - 2º REFORÇO)</t>
    </r>
  </si>
  <si>
    <r>
      <rPr>
        <b/>
        <sz val="12"/>
        <rFont val="Calibri"/>
        <family val="2"/>
      </rPr>
      <t>Febre amarela (REFORÇO)</t>
    </r>
  </si>
  <si>
    <r>
      <rPr>
        <b/>
        <sz val="12"/>
        <rFont val="Calibri"/>
        <family val="2"/>
      </rPr>
      <t>Varicela</t>
    </r>
  </si>
  <si>
    <r>
      <rPr>
        <b/>
        <sz val="12"/>
        <rFont val="Calibri"/>
        <family val="2"/>
      </rPr>
      <t>HPV</t>
    </r>
    <r>
      <rPr>
        <b/>
        <vertAlign val="superscript"/>
        <sz val="12"/>
        <rFont val="Calibri"/>
        <family val="2"/>
      </rPr>
      <t>13</t>
    </r>
  </si>
  <si>
    <r>
      <rPr>
        <b/>
        <sz val="12"/>
        <rFont val="Calibri"/>
        <family val="2"/>
      </rPr>
      <t xml:space="preserve">Meningocócica ACWY (conjugada) </t>
    </r>
    <r>
      <rPr>
        <b/>
        <vertAlign val="superscript"/>
        <sz val="12"/>
        <rFont val="Calibri"/>
        <family val="2"/>
      </rPr>
      <t>14</t>
    </r>
  </si>
  <si>
    <r>
      <rPr>
        <b/>
        <sz val="12"/>
        <rFont val="Calibri"/>
        <family val="2"/>
      </rPr>
      <t>Tríplice viral (SCR)</t>
    </r>
  </si>
  <si>
    <r>
      <rPr>
        <b/>
        <sz val="12"/>
        <rFont val="Calibri"/>
        <family val="2"/>
      </rPr>
      <t>Hepatite B</t>
    </r>
  </si>
  <si>
    <r>
      <rPr>
        <b/>
        <sz val="12"/>
        <rFont val="Calibri"/>
        <family val="2"/>
      </rPr>
      <t>Dupla adulto (dT)</t>
    </r>
    <r>
      <rPr>
        <b/>
        <vertAlign val="superscript"/>
        <sz val="12"/>
        <rFont val="Calibri"/>
        <family val="2"/>
      </rPr>
      <t>15</t>
    </r>
  </si>
  <si>
    <r>
      <rPr>
        <b/>
        <sz val="12"/>
        <rFont val="Calibri"/>
        <family val="2"/>
      </rPr>
      <t>Febre Amarela</t>
    </r>
  </si>
  <si>
    <r>
      <rPr>
        <b/>
        <sz val="12"/>
        <rFont val="Calibri"/>
        <family val="2"/>
      </rPr>
      <t>Gestante e Puérperas</t>
    </r>
  </si>
  <si>
    <r>
      <rPr>
        <b/>
        <sz val="12"/>
        <rFont val="Calibri"/>
        <family val="2"/>
      </rPr>
      <t>dTpa¹</t>
    </r>
    <r>
      <rPr>
        <b/>
        <vertAlign val="superscript"/>
        <sz val="12"/>
        <rFont val="Calibri"/>
        <family val="2"/>
      </rPr>
      <t>6</t>
    </r>
  </si>
  <si>
    <r>
      <rPr>
        <b/>
        <sz val="12"/>
        <rFont val="Calibri"/>
        <family val="2"/>
      </rPr>
      <t>60 anos e mais</t>
    </r>
  </si>
  <si>
    <t>BCG</t>
  </si>
  <si>
    <t>HEPATITE B</t>
  </si>
  <si>
    <t>PENTA</t>
  </si>
  <si>
    <t>VIP</t>
  </si>
  <si>
    <t>VOP</t>
  </si>
  <si>
    <t>PNEUMO 10</t>
  </si>
  <si>
    <t>ROTAVIRUS</t>
  </si>
  <si>
    <t>FEBRE AMARELA</t>
  </si>
  <si>
    <t>TV</t>
  </si>
  <si>
    <t>TETRA VIRAL</t>
  </si>
  <si>
    <t>DTP</t>
  </si>
  <si>
    <t>HEPATITE A</t>
  </si>
  <si>
    <t>ACWY</t>
  </si>
  <si>
    <t>HPV</t>
  </si>
  <si>
    <t>DT</t>
  </si>
  <si>
    <t>DTPA</t>
  </si>
  <si>
    <t>INFLUENZA</t>
  </si>
  <si>
    <t>PNEUMO 23</t>
  </si>
  <si>
    <t>VACINA</t>
  </si>
  <si>
    <t>LOTE</t>
  </si>
  <si>
    <r>
      <t>BCG</t>
    </r>
    <r>
      <rPr>
        <b/>
        <vertAlign val="superscript"/>
        <sz val="12"/>
        <rFont val="Calibri"/>
        <family val="2"/>
      </rPr>
      <t>1</t>
    </r>
    <r>
      <rPr>
        <b/>
        <sz val="12"/>
        <rFont val="Calibri"/>
        <family val="2"/>
      </rPr>
      <t xml:space="preserve"> </t>
    </r>
  </si>
  <si>
    <t xml:space="preserve"> </t>
  </si>
  <si>
    <t xml:space="preserve"> Hepatite B   </t>
  </si>
  <si>
    <t>Influenza17</t>
  </si>
  <si>
    <t>Hepatite B</t>
  </si>
  <si>
    <t xml:space="preserve"> pneumocócica 23 valente</t>
  </si>
  <si>
    <t>VARICELA</t>
  </si>
  <si>
    <t>MENINGITE C</t>
  </si>
  <si>
    <t>Meninas e Meninos de 9 a 14 anos</t>
  </si>
  <si>
    <t>Meninas e Meninos de 11 e 12 anos</t>
  </si>
  <si>
    <t>Adolescentes e Adultos</t>
  </si>
  <si>
    <t>FK8724</t>
  </si>
  <si>
    <t>233110128</t>
  </si>
  <si>
    <t>002822003A</t>
  </si>
  <si>
    <t>220335</t>
  </si>
  <si>
    <t>209VFA068Z</t>
  </si>
  <si>
    <t>220164</t>
  </si>
  <si>
    <t>WY22506</t>
  </si>
  <si>
    <t>230168</t>
  </si>
  <si>
    <t>AMCB69AA</t>
  </si>
  <si>
    <t>E5V010083</t>
  </si>
  <si>
    <t>210VP0011A</t>
  </si>
  <si>
    <t>226VRT034Z</t>
  </si>
  <si>
    <t>22PVVA013Z</t>
  </si>
  <si>
    <t>V032703</t>
  </si>
  <si>
    <t>V3G92</t>
  </si>
  <si>
    <t>1802P130</t>
  </si>
  <si>
    <t>LABORATÓRIO</t>
  </si>
  <si>
    <t>BUTANTAN</t>
  </si>
  <si>
    <t>BIOMANGUINHOS</t>
  </si>
  <si>
    <t>SERUM INDIA</t>
  </si>
  <si>
    <t>BIOFARMA</t>
  </si>
  <si>
    <t>MERCK SHARP DOHME</t>
  </si>
  <si>
    <t>GSK VACCINES</t>
  </si>
  <si>
    <t>COMINARTY PFIZER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</si>
</sst>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Times New Roman"/>
      <charset val="204"/>
    </font>
    <font>
      <b/>
      <sz val="16"/>
      <name val="Calibri"/>
    </font>
    <font>
      <b/>
      <sz val="12"/>
      <name val="Calibri"/>
    </font>
    <font>
      <b/>
      <sz val="16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vertAlign val="superscript"/>
      <sz val="12"/>
      <name val="Calibri"/>
      <family val="2"/>
    </font>
    <font>
      <sz val="12"/>
      <name val="Calibri"/>
      <family val="2"/>
    </font>
    <font>
      <sz val="8"/>
      <name val="Times New Roman"/>
      <charset val="204"/>
    </font>
    <font>
      <sz val="8"/>
      <name val="Times New Roman"/>
      <family val="1"/>
    </font>
    <font>
      <sz val="18"/>
      <color rgb="FF000000"/>
      <name val="Times New Roman"/>
      <family val="1"/>
    </font>
    <font>
      <b/>
      <sz val="18"/>
      <name val="Calibri"/>
      <family val="2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 applyProtection="1">
      <alignment horizontal="left" vertical="center"/>
      <protection hidden="1"/>
    </xf>
    <xf numFmtId="49" fontId="0" fillId="0" borderId="0" xfId="0" applyNumberFormat="1" applyFill="1" applyBorder="1" applyAlignment="1" applyProtection="1">
      <alignment horizontal="center" vertical="top"/>
      <protection hidden="1"/>
    </xf>
    <xf numFmtId="0" fontId="0" fillId="0" borderId="0" xfId="0" applyFill="1" applyBorder="1" applyAlignment="1" applyProtection="1">
      <alignment horizontal="left" vertical="top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49" fontId="10" fillId="0" borderId="1" xfId="0" applyNumberFormat="1" applyFont="1" applyFill="1" applyBorder="1" applyAlignment="1" applyProtection="1">
      <alignment horizontal="center" vertical="top"/>
      <protection locked="0"/>
    </xf>
    <xf numFmtId="0" fontId="2" fillId="2" borderId="0" xfId="0" applyFont="1" applyFill="1" applyBorder="1" applyAlignment="1" applyProtection="1">
      <alignment horizontal="center" vertical="top" wrapText="1"/>
      <protection hidden="1"/>
    </xf>
    <xf numFmtId="0" fontId="4" fillId="2" borderId="0" xfId="0" applyFont="1" applyFill="1" applyBorder="1" applyAlignment="1" applyProtection="1">
      <alignment horizontal="center" vertical="top" wrapText="1"/>
      <protection hidden="1"/>
    </xf>
    <xf numFmtId="0" fontId="4" fillId="2" borderId="0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Border="1" applyAlignment="1" applyProtection="1">
      <alignment horizontal="left" wrapText="1"/>
      <protection hidden="1"/>
    </xf>
    <xf numFmtId="0" fontId="5" fillId="3" borderId="1" xfId="0" applyFont="1" applyFill="1" applyBorder="1" applyAlignment="1" applyProtection="1">
      <alignment horizontal="center" vertical="top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top" wrapText="1"/>
      <protection hidden="1"/>
    </xf>
    <xf numFmtId="0" fontId="0" fillId="0" borderId="0" xfId="0" applyFill="1" applyBorder="1" applyAlignment="1" applyProtection="1">
      <alignment horizontal="left" vertical="center" wrapText="1"/>
      <protection hidden="1"/>
    </xf>
    <xf numFmtId="0" fontId="2" fillId="5" borderId="4" xfId="0" applyFont="1" applyFill="1" applyBorder="1" applyAlignment="1" applyProtection="1">
      <alignment horizontal="center" vertical="top" wrapText="1"/>
      <protection hidden="1"/>
    </xf>
    <xf numFmtId="0" fontId="2" fillId="5" borderId="5" xfId="0" applyFont="1" applyFill="1" applyBorder="1" applyAlignment="1" applyProtection="1">
      <alignment horizontal="center" vertical="top" wrapText="1"/>
      <protection hidden="1"/>
    </xf>
    <xf numFmtId="0" fontId="2" fillId="4" borderId="3" xfId="0" applyFont="1" applyFill="1" applyBorder="1" applyAlignment="1" applyProtection="1">
      <alignment horizontal="center" vertical="top" wrapText="1"/>
      <protection hidden="1"/>
    </xf>
    <xf numFmtId="0" fontId="0" fillId="4" borderId="0" xfId="0" applyFill="1" applyBorder="1" applyAlignment="1" applyProtection="1">
      <alignment horizontal="left" wrapText="1"/>
      <protection hidden="1"/>
    </xf>
    <xf numFmtId="0" fontId="0" fillId="4" borderId="0" xfId="0" applyFill="1" applyBorder="1" applyAlignment="1" applyProtection="1">
      <alignment horizontal="left" vertical="top"/>
      <protection hidden="1"/>
    </xf>
    <xf numFmtId="0" fontId="2" fillId="4" borderId="1" xfId="0" applyFont="1" applyFill="1" applyBorder="1" applyAlignment="1" applyProtection="1">
      <alignment horizontal="center" vertical="top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4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 applyProtection="1">
      <alignment horizontal="center" vertical="top" wrapText="1"/>
      <protection hidden="1"/>
    </xf>
    <xf numFmtId="0" fontId="2" fillId="4" borderId="1" xfId="0" applyFont="1" applyFill="1" applyBorder="1" applyAlignment="1" applyProtection="1">
      <alignment horizontal="left" vertical="top" wrapText="1" indent="12"/>
      <protection hidden="1"/>
    </xf>
    <xf numFmtId="0" fontId="2" fillId="4" borderId="1" xfId="0" applyFont="1" applyFill="1" applyBorder="1" applyAlignment="1" applyProtection="1">
      <alignment horizontal="left" vertical="top" wrapText="1" indent="10"/>
      <protection hidden="1"/>
    </xf>
    <xf numFmtId="0" fontId="2" fillId="4" borderId="1" xfId="0" applyFont="1" applyFill="1" applyBorder="1" applyAlignment="1" applyProtection="1">
      <alignment horizontal="left" vertical="top" wrapText="1" indent="11"/>
      <protection hidden="1"/>
    </xf>
    <xf numFmtId="0" fontId="2" fillId="5" borderId="8" xfId="0" applyFont="1" applyFill="1" applyBorder="1" applyAlignment="1" applyProtection="1">
      <alignment horizontal="center" vertical="top" wrapText="1"/>
      <protection hidden="1"/>
    </xf>
    <xf numFmtId="0" fontId="2" fillId="6" borderId="1" xfId="0" applyFont="1" applyFill="1" applyBorder="1" applyAlignment="1" applyProtection="1">
      <alignment horizontal="left" vertical="top" wrapText="1" indent="10"/>
      <protection hidden="1"/>
    </xf>
    <xf numFmtId="0" fontId="2" fillId="6" borderId="1" xfId="0" applyFont="1" applyFill="1" applyBorder="1" applyAlignment="1" applyProtection="1">
      <alignment horizontal="center" vertical="center" wrapText="1"/>
      <protection hidden="1"/>
    </xf>
    <xf numFmtId="0" fontId="2" fillId="6" borderId="1" xfId="0" applyFont="1" applyFill="1" applyBorder="1" applyAlignment="1" applyProtection="1">
      <alignment horizontal="center" vertical="top" wrapText="1"/>
      <protection hidden="1"/>
    </xf>
    <xf numFmtId="0" fontId="2" fillId="4" borderId="1" xfId="0" applyFont="1" applyFill="1" applyBorder="1" applyAlignment="1" applyProtection="1">
      <alignment horizontal="left" vertical="top" wrapText="1" indent="13"/>
      <protection hidden="1"/>
    </xf>
    <xf numFmtId="0" fontId="2" fillId="4" borderId="2" xfId="0" applyFont="1" applyFill="1" applyBorder="1" applyAlignment="1" applyProtection="1">
      <alignment horizontal="center" vertical="top" wrapText="1"/>
      <protection hidden="1"/>
    </xf>
    <xf numFmtId="0" fontId="2" fillId="5" borderId="11" xfId="0" applyFont="1" applyFill="1" applyBorder="1" applyAlignment="1" applyProtection="1">
      <alignment horizontal="center" vertical="top" wrapText="1"/>
      <protection hidden="1"/>
    </xf>
    <xf numFmtId="0" fontId="2" fillId="5" borderId="11" xfId="0" applyFont="1" applyFill="1" applyBorder="1" applyAlignment="1" applyProtection="1">
      <alignment horizontal="center" vertical="center" wrapText="1"/>
      <protection hidden="1"/>
    </xf>
    <xf numFmtId="0" fontId="5" fillId="5" borderId="2" xfId="0" applyFont="1" applyFill="1" applyBorder="1" applyAlignment="1" applyProtection="1">
      <alignment horizontal="center" vertical="center" wrapText="1"/>
      <protection hidden="1"/>
    </xf>
    <xf numFmtId="0" fontId="5" fillId="7" borderId="3" xfId="0" applyFont="1" applyFill="1" applyBorder="1" applyAlignment="1" applyProtection="1">
      <alignment horizontal="center" vertical="center" wrapText="1"/>
      <protection hidden="1"/>
    </xf>
    <xf numFmtId="0" fontId="0" fillId="0" borderId="1" xfId="0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7" xfId="0" applyFont="1" applyFill="1" applyBorder="1" applyAlignment="1" applyProtection="1">
      <alignment horizontal="center" vertical="center" wrapText="1"/>
      <protection hidden="1"/>
    </xf>
    <xf numFmtId="0" fontId="2" fillId="4" borderId="9" xfId="0" applyFont="1" applyFill="1" applyBorder="1" applyAlignment="1" applyProtection="1">
      <alignment horizontal="center" vertical="center" wrapText="1"/>
      <protection hidden="1"/>
    </xf>
    <xf numFmtId="0" fontId="2" fillId="4" borderId="9" xfId="0" applyFont="1" applyFill="1" applyBorder="1" applyAlignment="1" applyProtection="1">
      <alignment horizontal="center" vertical="top" wrapText="1"/>
      <protection hidden="1"/>
    </xf>
    <xf numFmtId="0" fontId="2" fillId="4" borderId="6" xfId="0" applyFont="1" applyFill="1" applyBorder="1" applyAlignment="1" applyProtection="1">
      <alignment horizontal="center" vertical="top" wrapText="1"/>
      <protection hidden="1"/>
    </xf>
    <xf numFmtId="0" fontId="2" fillId="4" borderId="7" xfId="0" applyFont="1" applyFill="1" applyBorder="1" applyAlignment="1" applyProtection="1">
      <alignment horizontal="center" vertical="top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2" fillId="6" borderId="9" xfId="0" applyFont="1" applyFill="1" applyBorder="1" applyAlignment="1" applyProtection="1">
      <alignment horizontal="center" vertical="center" wrapText="1"/>
      <protection hidden="1"/>
    </xf>
    <xf numFmtId="0" fontId="2" fillId="6" borderId="6" xfId="0" applyFont="1" applyFill="1" applyBorder="1" applyAlignment="1" applyProtection="1">
      <alignment horizontal="center" vertical="center" wrapText="1"/>
      <protection hidden="1"/>
    </xf>
    <xf numFmtId="0" fontId="2" fillId="6" borderId="7" xfId="0" applyFont="1" applyFill="1" applyBorder="1" applyAlignment="1" applyProtection="1">
      <alignment horizontal="center" vertical="center" wrapText="1"/>
      <protection hidden="1"/>
    </xf>
    <xf numFmtId="0" fontId="12" fillId="4" borderId="6" xfId="0" applyFont="1" applyFill="1" applyBorder="1" applyAlignment="1" applyProtection="1">
      <alignment horizontal="center" vertical="center" wrapText="1"/>
      <protection hidden="1"/>
    </xf>
    <xf numFmtId="0" fontId="12" fillId="4" borderId="7" xfId="0" applyFont="1" applyFill="1" applyBorder="1" applyAlignment="1" applyProtection="1">
      <alignment horizontal="center" vertical="center" wrapText="1"/>
      <protection hidden="1"/>
    </xf>
    <xf numFmtId="0" fontId="2" fillId="5" borderId="9" xfId="0" applyFont="1" applyFill="1" applyBorder="1" applyAlignment="1" applyProtection="1">
      <alignment horizontal="center" vertical="center" wrapText="1"/>
      <protection hidden="1"/>
    </xf>
    <xf numFmtId="0" fontId="2" fillId="5" borderId="6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2" fillId="4" borderId="10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229883</xdr:colOff>
      <xdr:row>0</xdr:row>
      <xdr:rowOff>0</xdr:rowOff>
    </xdr:from>
    <xdr:ext cx="300619" cy="257175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883" y="0"/>
          <a:ext cx="300619" cy="257175"/>
        </a:xfrm>
        <a:prstGeom prst="rect">
          <a:avLst/>
        </a:prstGeom>
      </xdr:spPr>
    </xdr:pic>
    <xdr:clientData/>
  </xdr:oneCellAnchor>
  <xdr:oneCellAnchor>
    <xdr:from>
      <xdr:col>2</xdr:col>
      <xdr:colOff>1366092</xdr:colOff>
      <xdr:row>0</xdr:row>
      <xdr:rowOff>0</xdr:rowOff>
    </xdr:from>
    <xdr:ext cx="264036" cy="295275"/>
    <xdr:pic>
      <xdr:nvPicPr>
        <xdr:cNvPr id="3" name="image2.jpeg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5692" y="0"/>
          <a:ext cx="264036" cy="295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tabSelected="1" workbookViewId="0">
      <selection activeCell="E7" sqref="E7"/>
    </sheetView>
  </sheetViews>
  <sheetFormatPr defaultRowHeight="12.75" x14ac:dyDescent="0.2"/>
  <cols>
    <col min="1" max="1" width="9" style="3" customWidth="1"/>
    <col min="2" max="2" width="9.33203125" style="3" hidden="1" customWidth="1"/>
    <col min="3" max="3" width="33.5" style="1" customWidth="1"/>
    <col min="4" max="4" width="60.83203125" style="2" customWidth="1"/>
    <col min="5" max="5" width="40.83203125" style="4" customWidth="1"/>
    <col min="6" max="16384" width="9.33203125" style="3"/>
  </cols>
  <sheetData>
    <row r="1" spans="3:5" ht="2.25" customHeight="1" x14ac:dyDescent="0.2"/>
    <row r="2" spans="3:5" hidden="1" x14ac:dyDescent="0.2"/>
    <row r="3" spans="3:5" hidden="1" x14ac:dyDescent="0.2"/>
    <row r="4" spans="3:5" ht="15.75" customHeight="1" x14ac:dyDescent="0.2"/>
    <row r="5" spans="3:5" ht="14.25" customHeight="1" x14ac:dyDescent="0.2">
      <c r="C5" s="4" t="s">
        <v>62</v>
      </c>
      <c r="D5" s="2" t="s">
        <v>63</v>
      </c>
      <c r="E5" s="4" t="s">
        <v>91</v>
      </c>
    </row>
    <row r="6" spans="3:5" ht="24.95" customHeight="1" x14ac:dyDescent="0.2">
      <c r="C6" s="5" t="s">
        <v>56</v>
      </c>
      <c r="D6" s="6" t="s">
        <v>75</v>
      </c>
      <c r="E6" s="37" t="s">
        <v>98</v>
      </c>
    </row>
    <row r="7" spans="3:5" ht="24.95" customHeight="1" x14ac:dyDescent="0.2">
      <c r="C7" s="5" t="s">
        <v>44</v>
      </c>
      <c r="D7" s="6"/>
      <c r="E7" s="37"/>
    </row>
    <row r="8" spans="3:5" ht="24.95" customHeight="1" x14ac:dyDescent="0.2">
      <c r="C8" s="5" t="s">
        <v>58</v>
      </c>
      <c r="D8" s="6" t="s">
        <v>76</v>
      </c>
      <c r="E8" s="37" t="s">
        <v>94</v>
      </c>
    </row>
    <row r="9" spans="3:5" ht="24.95" customHeight="1" x14ac:dyDescent="0.2">
      <c r="C9" s="5" t="s">
        <v>54</v>
      </c>
      <c r="D9" s="6" t="s">
        <v>77</v>
      </c>
      <c r="E9" s="37" t="s">
        <v>95</v>
      </c>
    </row>
    <row r="10" spans="3:5" ht="24.95" customHeight="1" x14ac:dyDescent="0.2">
      <c r="C10" s="5" t="s">
        <v>59</v>
      </c>
      <c r="D10" s="6" t="s">
        <v>78</v>
      </c>
      <c r="E10" s="37" t="s">
        <v>92</v>
      </c>
    </row>
    <row r="11" spans="3:5" ht="24.95" customHeight="1" x14ac:dyDescent="0.2">
      <c r="C11" s="5" t="s">
        <v>51</v>
      </c>
      <c r="D11" s="6" t="s">
        <v>79</v>
      </c>
      <c r="E11" s="37" t="s">
        <v>93</v>
      </c>
    </row>
    <row r="12" spans="3:5" ht="24.95" customHeight="1" x14ac:dyDescent="0.2">
      <c r="C12" s="5" t="s">
        <v>55</v>
      </c>
      <c r="D12" s="6" t="s">
        <v>80</v>
      </c>
      <c r="E12" s="37" t="s">
        <v>96</v>
      </c>
    </row>
    <row r="13" spans="3:5" ht="24.95" customHeight="1" x14ac:dyDescent="0.2">
      <c r="C13" s="5" t="s">
        <v>45</v>
      </c>
      <c r="D13" s="6" t="s">
        <v>81</v>
      </c>
      <c r="E13" s="37" t="s">
        <v>92</v>
      </c>
    </row>
    <row r="14" spans="3:5" ht="24.95" customHeight="1" x14ac:dyDescent="0.2">
      <c r="C14" s="5" t="s">
        <v>57</v>
      </c>
      <c r="D14" s="6" t="s">
        <v>80</v>
      </c>
      <c r="E14" s="37" t="s">
        <v>96</v>
      </c>
    </row>
    <row r="15" spans="3:5" ht="24.95" customHeight="1" x14ac:dyDescent="0.2">
      <c r="C15" s="5" t="s">
        <v>60</v>
      </c>
      <c r="D15" s="6" t="s">
        <v>82</v>
      </c>
      <c r="E15" s="37" t="s">
        <v>92</v>
      </c>
    </row>
    <row r="16" spans="3:5" ht="24.95" customHeight="1" x14ac:dyDescent="0.2">
      <c r="C16" s="5" t="s">
        <v>71</v>
      </c>
      <c r="D16" s="6" t="s">
        <v>83</v>
      </c>
      <c r="E16" s="37" t="s">
        <v>97</v>
      </c>
    </row>
    <row r="17" spans="3:5" ht="24.95" customHeight="1" x14ac:dyDescent="0.2">
      <c r="C17" s="5" t="s">
        <v>46</v>
      </c>
      <c r="D17" s="6" t="s">
        <v>84</v>
      </c>
      <c r="E17" s="37" t="s">
        <v>94</v>
      </c>
    </row>
    <row r="18" spans="3:5" ht="24.95" customHeight="1" x14ac:dyDescent="0.2">
      <c r="C18" s="5" t="s">
        <v>49</v>
      </c>
      <c r="D18" s="6" t="s">
        <v>85</v>
      </c>
      <c r="E18" s="37" t="s">
        <v>93</v>
      </c>
    </row>
    <row r="19" spans="3:5" ht="24.95" customHeight="1" x14ac:dyDescent="0.2">
      <c r="C19" s="5" t="s">
        <v>61</v>
      </c>
      <c r="D19" s="6"/>
      <c r="E19" s="37"/>
    </row>
    <row r="20" spans="3:5" ht="24.95" customHeight="1" x14ac:dyDescent="0.2">
      <c r="C20" s="5" t="s">
        <v>50</v>
      </c>
      <c r="D20" s="6" t="s">
        <v>86</v>
      </c>
      <c r="E20" s="37" t="s">
        <v>93</v>
      </c>
    </row>
    <row r="21" spans="3:5" ht="24.95" customHeight="1" x14ac:dyDescent="0.2">
      <c r="C21" s="5" t="s">
        <v>53</v>
      </c>
      <c r="D21" s="6"/>
      <c r="E21" s="37"/>
    </row>
    <row r="22" spans="3:5" ht="24.95" customHeight="1" x14ac:dyDescent="0.2">
      <c r="C22" s="5" t="s">
        <v>52</v>
      </c>
      <c r="D22" s="6" t="s">
        <v>87</v>
      </c>
      <c r="E22" s="37" t="s">
        <v>93</v>
      </c>
    </row>
    <row r="23" spans="3:5" ht="24.95" customHeight="1" x14ac:dyDescent="0.2">
      <c r="C23" s="5" t="s">
        <v>70</v>
      </c>
      <c r="D23" s="6" t="s">
        <v>88</v>
      </c>
      <c r="E23" s="37" t="s">
        <v>96</v>
      </c>
    </row>
    <row r="24" spans="3:5" ht="24.95" customHeight="1" x14ac:dyDescent="0.2">
      <c r="C24" s="5" t="s">
        <v>47</v>
      </c>
      <c r="D24" s="6" t="s">
        <v>89</v>
      </c>
      <c r="E24" s="37" t="s">
        <v>93</v>
      </c>
    </row>
    <row r="25" spans="3:5" ht="24.95" customHeight="1" x14ac:dyDescent="0.2">
      <c r="C25" s="5" t="s">
        <v>48</v>
      </c>
      <c r="D25" s="6" t="s">
        <v>90</v>
      </c>
      <c r="E25" s="37" t="s">
        <v>94</v>
      </c>
    </row>
  </sheetData>
  <sheetProtection algorithmName="SHA-512" hashValue="p+ms3aAkWN85LT81FvSt9zWYhIJWnRnMGnozQRwXaSYCsHS5xdDZLgQu5RizwH9pDXJQZ4HO/fOBJYVDB9WIBg==" saltValue="ihe07dwPXXVwKpqk0mkSKw==" spinCount="100000" sheet="1" objects="1" scenarios="1" selectLockedCells="1"/>
  <sortState ref="C6:D25">
    <sortCondition ref="C6:C25"/>
  </sortState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86"/>
  <sheetViews>
    <sheetView workbookViewId="0">
      <selection activeCell="J19" sqref="J19"/>
    </sheetView>
  </sheetViews>
  <sheetFormatPr defaultRowHeight="12.75" x14ac:dyDescent="0.2"/>
  <cols>
    <col min="1" max="1" width="26.1640625" style="3" customWidth="1"/>
    <col min="2" max="2" width="51.1640625" style="3" customWidth="1"/>
    <col min="3" max="3" width="32.83203125" style="4" customWidth="1"/>
    <col min="4" max="4" width="1.1640625" style="3" hidden="1" customWidth="1"/>
    <col min="5" max="5" width="2.1640625" style="3" hidden="1" customWidth="1"/>
    <col min="6" max="16384" width="9.33203125" style="3"/>
  </cols>
  <sheetData>
    <row r="1" spans="1:13" ht="26.25" customHeight="1" x14ac:dyDescent="0.35">
      <c r="A1" s="38" t="s">
        <v>0</v>
      </c>
      <c r="B1" s="38"/>
      <c r="C1" s="38"/>
      <c r="D1" s="38"/>
    </row>
    <row r="2" spans="1:13" ht="15.75" customHeight="1" x14ac:dyDescent="0.2">
      <c r="A2" s="7" t="s">
        <v>1</v>
      </c>
      <c r="B2" s="8" t="s">
        <v>62</v>
      </c>
      <c r="C2" s="9" t="s">
        <v>63</v>
      </c>
      <c r="D2" s="10"/>
    </row>
    <row r="3" spans="1:13" ht="18" customHeight="1" x14ac:dyDescent="0.2">
      <c r="A3" s="45" t="s">
        <v>2</v>
      </c>
      <c r="B3" s="11" t="s">
        <v>64</v>
      </c>
      <c r="C3" s="12" t="str">
        <f>IF(Lotes!D7="","",Lotes!D7)</f>
        <v/>
      </c>
      <c r="D3" s="10"/>
    </row>
    <row r="4" spans="1:13" ht="18" customHeight="1" x14ac:dyDescent="0.2">
      <c r="A4" s="46"/>
      <c r="B4" s="13" t="s">
        <v>66</v>
      </c>
      <c r="C4" s="12" t="str">
        <f>IF(Lotes!D13="","",Lotes!D13)&amp;Lotes!E6</f>
        <v>WY22506COMINARTY PFIZER</v>
      </c>
      <c r="D4" s="10"/>
    </row>
    <row r="5" spans="1:13" ht="20.100000000000001" customHeight="1" x14ac:dyDescent="0.2">
      <c r="A5" s="39" t="s">
        <v>3</v>
      </c>
      <c r="B5" s="24" t="s">
        <v>4</v>
      </c>
      <c r="C5" s="22" t="str">
        <f>IF(Lotes!D17="","",Lotes!D17)</f>
        <v>E5V010083</v>
      </c>
      <c r="D5" s="10"/>
    </row>
    <row r="6" spans="1:13" ht="20.100000000000001" customHeight="1" x14ac:dyDescent="0.2">
      <c r="A6" s="39"/>
      <c r="B6" s="24" t="s">
        <v>5</v>
      </c>
      <c r="C6" s="22" t="str">
        <f>IF(Lotes!D24="","",Lotes!D24)&amp;Lotes!E6</f>
        <v>V3G92COMINARTY PFIZER</v>
      </c>
      <c r="D6" s="10"/>
    </row>
    <row r="7" spans="1:13" ht="20.100000000000001" customHeight="1" x14ac:dyDescent="0.2">
      <c r="A7" s="39"/>
      <c r="B7" s="25" t="s">
        <v>6</v>
      </c>
      <c r="C7" s="22" t="str">
        <f>IF(Lotes!D20="","",Lotes!D20)</f>
        <v>226VRT034Z</v>
      </c>
      <c r="D7" s="10"/>
      <c r="M7" s="3" t="s">
        <v>65</v>
      </c>
    </row>
    <row r="8" spans="1:13" ht="20.100000000000001" customHeight="1" x14ac:dyDescent="0.2">
      <c r="A8" s="40"/>
      <c r="B8" s="26" t="s">
        <v>7</v>
      </c>
      <c r="C8" s="22" t="str">
        <f>IF(Lotes!D18="","",Lotes!D18)</f>
        <v>210VP0011A</v>
      </c>
      <c r="D8" s="10"/>
    </row>
    <row r="9" spans="1:13" ht="20.100000000000001" customHeight="1" x14ac:dyDescent="0.2">
      <c r="A9" s="27" t="s">
        <v>8</v>
      </c>
      <c r="B9" s="23" t="s">
        <v>9</v>
      </c>
      <c r="C9" s="21" t="str">
        <f>IF(Lotes!D16="","",Lotes!D16)</f>
        <v>AMCB69AA</v>
      </c>
      <c r="D9" s="10"/>
    </row>
    <row r="10" spans="1:13" ht="20.100000000000001" customHeight="1" x14ac:dyDescent="0.2">
      <c r="A10" s="41" t="s">
        <v>10</v>
      </c>
      <c r="B10" s="24" t="s">
        <v>11</v>
      </c>
      <c r="C10" s="22" t="str">
        <f>IF(Lotes!D17="","",Lotes!D17)</f>
        <v>E5V010083</v>
      </c>
      <c r="D10" s="10"/>
    </row>
    <row r="11" spans="1:13" ht="20.100000000000001" customHeight="1" x14ac:dyDescent="0.2">
      <c r="A11" s="39"/>
      <c r="B11" s="24" t="s">
        <v>12</v>
      </c>
      <c r="C11" s="22" t="str">
        <f>IF(Lotes!D24="","",Lotes!D24)</f>
        <v>V3G92</v>
      </c>
      <c r="D11" s="10"/>
    </row>
    <row r="12" spans="1:13" ht="20.100000000000001" customHeight="1" x14ac:dyDescent="0.2">
      <c r="A12" s="39"/>
      <c r="B12" s="26" t="s">
        <v>13</v>
      </c>
      <c r="C12" s="22" t="str">
        <f>IF(Lotes!D20="","",Lotes!D20)</f>
        <v>226VRT034Z</v>
      </c>
      <c r="D12" s="10"/>
    </row>
    <row r="13" spans="1:13" ht="20.100000000000001" customHeight="1" x14ac:dyDescent="0.2">
      <c r="A13" s="40"/>
      <c r="B13" s="24" t="s">
        <v>14</v>
      </c>
      <c r="C13" s="22" t="str">
        <f>IF(Lotes!D18="","",Lotes!D18)</f>
        <v>210VP0011A</v>
      </c>
      <c r="D13" s="10"/>
    </row>
    <row r="14" spans="1:13" ht="20.100000000000001" customHeight="1" x14ac:dyDescent="0.2">
      <c r="A14" s="27" t="s">
        <v>15</v>
      </c>
      <c r="B14" s="23" t="s">
        <v>16</v>
      </c>
      <c r="C14" s="21" t="str">
        <f>IF(Lotes!D16="","",Lotes!D16)</f>
        <v>AMCB69AA</v>
      </c>
      <c r="D14" s="10"/>
    </row>
    <row r="15" spans="1:13" ht="20.100000000000001" customHeight="1" x14ac:dyDescent="0.2">
      <c r="A15" s="41" t="s">
        <v>17</v>
      </c>
      <c r="B15" s="24" t="s">
        <v>11</v>
      </c>
      <c r="C15" s="22" t="str">
        <f>IF(Lotes!D17="","",Lotes!D17)</f>
        <v>E5V010083</v>
      </c>
      <c r="D15" s="10"/>
    </row>
    <row r="16" spans="1:13" ht="20.100000000000001" customHeight="1" x14ac:dyDescent="0.2">
      <c r="A16" s="40"/>
      <c r="B16" s="24" t="s">
        <v>12</v>
      </c>
      <c r="C16" s="22" t="str">
        <f>IF(Lotes!D24="","",Lotes!D24)</f>
        <v>V3G92</v>
      </c>
      <c r="D16" s="10"/>
    </row>
    <row r="17" spans="1:4" ht="20.100000000000001" customHeight="1" x14ac:dyDescent="0.2">
      <c r="A17" s="27" t="s">
        <v>18</v>
      </c>
      <c r="B17" s="23" t="s">
        <v>19</v>
      </c>
      <c r="C17" s="21" t="str">
        <f>IF(Lotes!D11="","",Lotes!D11)</f>
        <v>209VFA068Z</v>
      </c>
      <c r="D17" s="10"/>
    </row>
    <row r="18" spans="1:4" ht="20.100000000000001" customHeight="1" x14ac:dyDescent="0.2">
      <c r="A18" s="42" t="s">
        <v>20</v>
      </c>
      <c r="B18" s="20" t="s">
        <v>21</v>
      </c>
      <c r="C18" s="22" t="str">
        <f>IF(Lotes!D22="","",Lotes!D22)</f>
        <v>22PVVA013Z</v>
      </c>
      <c r="D18" s="10"/>
    </row>
    <row r="19" spans="1:4" ht="20.100000000000001" customHeight="1" x14ac:dyDescent="0.2">
      <c r="A19" s="43"/>
      <c r="B19" s="24" t="s">
        <v>22</v>
      </c>
      <c r="C19" s="22" t="str">
        <f>IF(Lotes!D18="","",Lotes!D18)</f>
        <v>210VP0011A</v>
      </c>
      <c r="D19" s="10"/>
    </row>
    <row r="20" spans="1:4" ht="20.100000000000001" customHeight="1" x14ac:dyDescent="0.2">
      <c r="A20" s="44"/>
      <c r="B20" s="24" t="s">
        <v>23</v>
      </c>
      <c r="C20" s="22" t="str">
        <f>IF(Lotes!D16="","",Lotes!D16)</f>
        <v>AMCB69AA</v>
      </c>
      <c r="D20" s="10"/>
    </row>
    <row r="21" spans="1:4" ht="20.100000000000001" customHeight="1" x14ac:dyDescent="0.2">
      <c r="A21" s="47" t="s">
        <v>24</v>
      </c>
      <c r="B21" s="28" t="s">
        <v>25</v>
      </c>
      <c r="C21" s="29" t="str">
        <f>IF(Lotes!D9="","",Lotes!D9)</f>
        <v>002822003A</v>
      </c>
      <c r="D21" s="10"/>
    </row>
    <row r="22" spans="1:4" ht="20.100000000000001" customHeight="1" x14ac:dyDescent="0.2">
      <c r="A22" s="48"/>
      <c r="B22" s="30" t="s">
        <v>26</v>
      </c>
      <c r="C22" s="29" t="str">
        <f>IF(Lotes!D25="","",Lotes!D25)</f>
        <v>1802P130</v>
      </c>
      <c r="D22" s="10"/>
    </row>
    <row r="23" spans="1:4" ht="20.100000000000001" customHeight="1" x14ac:dyDescent="0.2">
      <c r="A23" s="48"/>
      <c r="B23" s="30" t="s">
        <v>27</v>
      </c>
      <c r="C23" s="29" t="str">
        <f>IF(Lotes!D22="","",Lotes!D22)</f>
        <v>22PVVA013Z</v>
      </c>
      <c r="D23" s="10"/>
    </row>
    <row r="24" spans="1:4" ht="20.100000000000001" customHeight="1" x14ac:dyDescent="0.2">
      <c r="A24" s="48"/>
      <c r="B24" s="30" t="s">
        <v>28</v>
      </c>
      <c r="C24" s="29" t="str">
        <f>IF(Lotes!D23="","",Lotes!D23)</f>
        <v>V032703</v>
      </c>
      <c r="D24" s="10"/>
    </row>
    <row r="25" spans="1:4" ht="20.100000000000001" customHeight="1" x14ac:dyDescent="0.2">
      <c r="A25" s="49"/>
      <c r="B25" s="30" t="s">
        <v>29</v>
      </c>
      <c r="C25" s="29" t="str">
        <f>IF(Lotes!D12="","",Lotes!D12)</f>
        <v>220164</v>
      </c>
      <c r="D25" s="10"/>
    </row>
    <row r="26" spans="1:4" ht="20.100000000000001" customHeight="1" x14ac:dyDescent="0.2">
      <c r="A26" s="41" t="s">
        <v>30</v>
      </c>
      <c r="B26" s="26" t="s">
        <v>31</v>
      </c>
      <c r="C26" s="22" t="str">
        <f>IF(Lotes!D9="","",Lotes!D9)</f>
        <v>002822003A</v>
      </c>
      <c r="D26" s="10"/>
    </row>
    <row r="27" spans="1:4" ht="20.100000000000001" customHeight="1" x14ac:dyDescent="0.2">
      <c r="A27" s="39"/>
      <c r="B27" s="20" t="s">
        <v>32</v>
      </c>
      <c r="C27" s="22" t="str">
        <f>IF(Lotes!D25="","",Lotes!D25)</f>
        <v>1802P130</v>
      </c>
      <c r="D27" s="14"/>
    </row>
    <row r="28" spans="1:4" ht="20.100000000000001" customHeight="1" x14ac:dyDescent="0.2">
      <c r="A28" s="39"/>
      <c r="B28" s="31" t="s">
        <v>33</v>
      </c>
      <c r="C28" s="22" t="str">
        <f>IF(Lotes!D11="","",Lotes!D11)</f>
        <v>209VFA068Z</v>
      </c>
      <c r="D28" s="10"/>
    </row>
    <row r="29" spans="1:4" ht="20.100000000000001" customHeight="1" x14ac:dyDescent="0.2">
      <c r="A29" s="39"/>
      <c r="B29" s="20" t="s">
        <v>34</v>
      </c>
      <c r="C29" s="22" t="str">
        <f>IF(Lotes!D23="","",Lotes!D23)</f>
        <v>V032703</v>
      </c>
      <c r="D29" s="10"/>
    </row>
    <row r="30" spans="1:4" ht="28.5" customHeight="1" x14ac:dyDescent="0.2">
      <c r="A30" s="35" t="s">
        <v>72</v>
      </c>
      <c r="B30" s="33" t="s">
        <v>35</v>
      </c>
      <c r="C30" s="21" t="str">
        <f>IF(Lotes!D14="","",Lotes!D14)</f>
        <v>220164</v>
      </c>
      <c r="D30" s="10"/>
    </row>
    <row r="31" spans="1:4" ht="29.25" customHeight="1" x14ac:dyDescent="0.2">
      <c r="A31" s="36" t="s">
        <v>73</v>
      </c>
      <c r="B31" s="34" t="s">
        <v>36</v>
      </c>
      <c r="C31" s="21" t="str">
        <f>IF(Lotes!D6="","",Lotes!D6)</f>
        <v>FK8724</v>
      </c>
      <c r="D31" s="10"/>
    </row>
    <row r="32" spans="1:4" ht="20.100000000000001" customHeight="1" x14ac:dyDescent="0.2">
      <c r="A32" s="50" t="s">
        <v>74</v>
      </c>
      <c r="B32" s="20" t="s">
        <v>37</v>
      </c>
      <c r="C32" s="22" t="str">
        <f>IF(Lotes!D22="","",Lotes!D22)</f>
        <v>22PVVA013Z</v>
      </c>
      <c r="D32" s="10"/>
    </row>
    <row r="33" spans="1:43" ht="20.100000000000001" customHeight="1" x14ac:dyDescent="0.2">
      <c r="A33" s="50"/>
      <c r="B33" s="20" t="s">
        <v>38</v>
      </c>
      <c r="C33" s="22" t="str">
        <f>IF(Lotes!D13="","",Lotes!D13)</f>
        <v>WY22506</v>
      </c>
      <c r="D33" s="10"/>
    </row>
    <row r="34" spans="1:43" ht="20.100000000000001" customHeight="1" x14ac:dyDescent="0.2">
      <c r="A34" s="50"/>
      <c r="B34" s="20" t="s">
        <v>39</v>
      </c>
      <c r="C34" s="22" t="str">
        <f>IF(Lotes!D8="","",Lotes!D8)</f>
        <v>233110128</v>
      </c>
      <c r="D34" s="10"/>
    </row>
    <row r="35" spans="1:43" ht="20.100000000000001" customHeight="1" x14ac:dyDescent="0.2">
      <c r="A35" s="51"/>
      <c r="B35" s="32" t="s">
        <v>40</v>
      </c>
      <c r="C35" s="22" t="str">
        <f>IF(Lotes!D11="","",Lotes!D11)</f>
        <v>209VFA068Z</v>
      </c>
      <c r="D35" s="10"/>
    </row>
    <row r="36" spans="1:43" ht="20.100000000000001" customHeight="1" x14ac:dyDescent="0.2">
      <c r="A36" s="52" t="s">
        <v>41</v>
      </c>
      <c r="B36" s="15" t="s">
        <v>42</v>
      </c>
      <c r="C36" s="21" t="str">
        <f>IF(Lotes!D10="","",Lotes!D10)</f>
        <v>220335</v>
      </c>
      <c r="D36" s="10"/>
    </row>
    <row r="37" spans="1:43" ht="20.100000000000001" customHeight="1" x14ac:dyDescent="0.2">
      <c r="A37" s="53"/>
      <c r="B37" s="16" t="s">
        <v>38</v>
      </c>
      <c r="C37" s="21" t="str">
        <f>IF(Lotes!D13="","",Lotes!D13)</f>
        <v>WY22506</v>
      </c>
      <c r="D37" s="10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19" customFormat="1" ht="20.100000000000001" customHeight="1" x14ac:dyDescent="0.2">
      <c r="A38" s="54" t="s">
        <v>43</v>
      </c>
      <c r="B38" s="17" t="s">
        <v>67</v>
      </c>
      <c r="C38" s="22" t="str">
        <f>IF(Lotes!D15="","",Lotes!D15)</f>
        <v>230168</v>
      </c>
      <c r="D38" s="1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s="19" customFormat="1" ht="20.100000000000001" customHeight="1" x14ac:dyDescent="0.2">
      <c r="A39" s="55"/>
      <c r="B39" s="20" t="s">
        <v>69</v>
      </c>
      <c r="C39" s="22" t="str">
        <f>IF(Lotes!D19="","",Lotes!D19)</f>
        <v/>
      </c>
      <c r="D39" s="18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 spans="1:43" s="19" customFormat="1" ht="20.100000000000001" customHeight="1" x14ac:dyDescent="0.2">
      <c r="A40" s="56"/>
      <c r="B40" s="20" t="s">
        <v>68</v>
      </c>
      <c r="C40" s="22" t="str">
        <f>IF(Lotes!D13="","",Lotes!D13)</f>
        <v>WY22506</v>
      </c>
      <c r="D40" s="18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</sheetData>
  <sheetProtection algorithmName="SHA-512" hashValue="wQ2UsA8U7r5/e8q3vfAh982m+VB8G/yB/A1cZh30vlHtqjeF3s28hPQyyjBwu4ViaND5scYTaTSan+RT5AkDJQ==" saltValue="yllxD+hu+joS6lQXaRx3jg==" spinCount="100000" sheet="1" objects="1" scenarios="1"/>
  <mergeCells count="11">
    <mergeCell ref="A21:A25"/>
    <mergeCell ref="A26:A29"/>
    <mergeCell ref="A32:A35"/>
    <mergeCell ref="A36:A37"/>
    <mergeCell ref="A38:A40"/>
    <mergeCell ref="A1:D1"/>
    <mergeCell ref="A5:A8"/>
    <mergeCell ref="A10:A13"/>
    <mergeCell ref="A15:A16"/>
    <mergeCell ref="A18:A20"/>
    <mergeCell ref="A3:A4"/>
  </mergeCells>
  <phoneticPr fontId="8" type="noConversion"/>
  <pageMargins left="0.19685039370078741" right="0" top="0" bottom="0" header="0.31496062992125984" footer="0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Lotes</vt:lpstr>
      <vt:lpstr>Calendário 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Suzana Ilha</dc:creator>
  <cp:lastModifiedBy>Jairo Pereira de Sousa Aguiar</cp:lastModifiedBy>
  <cp:lastPrinted>2023-08-24T14:06:12Z</cp:lastPrinted>
  <dcterms:created xsi:type="dcterms:W3CDTF">2023-08-24T12:26:42Z</dcterms:created>
  <dcterms:modified xsi:type="dcterms:W3CDTF">2023-08-29T10:19:28Z</dcterms:modified>
</cp:coreProperties>
</file>